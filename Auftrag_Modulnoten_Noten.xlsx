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iz\Downloads\"/>
    </mc:Choice>
  </mc:AlternateContent>
  <xr:revisionPtr revIDLastSave="0" documentId="13_ncr:9_{7E2D8B69-FEB3-4912-B4D0-F95FA51F56DB}" xr6:coauthVersionLast="47" xr6:coauthVersionMax="47" xr10:uidLastSave="{00000000-0000-0000-0000-000000000000}"/>
  <bookViews>
    <workbookView xWindow="8180" yWindow="0" windowWidth="11110" windowHeight="11370" xr2:uid="{F8C7F7A8-1875-4D28-89D5-615CAD07A74A}"/>
  </bookViews>
  <sheets>
    <sheet name="Auftrag_Modulnoten_Noten" sheetId="1" r:id="rId1"/>
  </sheets>
  <calcPr calcId="0"/>
</workbook>
</file>

<file path=xl/calcChain.xml><?xml version="1.0" encoding="utf-8"?>
<calcChain xmlns="http://schemas.openxmlformats.org/spreadsheetml/2006/main">
  <c r="F11" i="1" l="1"/>
  <c r="F10" i="1"/>
  <c r="G3" i="1"/>
  <c r="G4" i="1"/>
  <c r="G5" i="1"/>
  <c r="G6" i="1"/>
  <c r="G2" i="1"/>
  <c r="F3" i="1"/>
  <c r="F4" i="1"/>
  <c r="F5" i="1"/>
  <c r="F6" i="1"/>
  <c r="F2" i="1"/>
  <c r="F9" i="1" s="1"/>
  <c r="E3" i="1"/>
  <c r="E4" i="1"/>
  <c r="E5" i="1"/>
  <c r="E6" i="1"/>
  <c r="E2" i="1"/>
  <c r="F8" i="1" l="1"/>
</calcChain>
</file>

<file path=xl/sharedStrings.xml><?xml version="1.0" encoding="utf-8"?>
<sst xmlns="http://schemas.openxmlformats.org/spreadsheetml/2006/main" count="16" uniqueCount="15">
  <si>
    <t>Modul</t>
  </si>
  <si>
    <t>Prüfung 1</t>
  </si>
  <si>
    <t>Prüfung 2</t>
  </si>
  <si>
    <t>Prüfung 3</t>
  </si>
  <si>
    <t>Durchschnitt</t>
  </si>
  <si>
    <t>Zeugnisnote</t>
  </si>
  <si>
    <t>Abweichung zur Note 4</t>
  </si>
  <si>
    <t>mxx1</t>
  </si>
  <si>
    <t>mxx2</t>
  </si>
  <si>
    <t>mxx3</t>
  </si>
  <si>
    <t>mxx4</t>
  </si>
  <si>
    <t>mxx5</t>
  </si>
  <si>
    <t>Anzahl ungenügende Noten</t>
  </si>
  <si>
    <t>Minuspunkte</t>
  </si>
  <si>
    <t>Bestanden?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</si>
</sst>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775A-82D5-4718-9186-802D39AC420F}">
  <dimension ref="A1:G11"/>
  <sheetViews>
    <sheetView tabSelected="1" workbookViewId="0">
      <selection activeCell="G13" sqref="G13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3.2</v>
      </c>
      <c r="C2">
        <v>4.5</v>
      </c>
      <c r="E2">
        <f>ROUND(AVERAGE(B2:D2),2)</f>
        <v>3.85</v>
      </c>
      <c r="F2">
        <f>ROUND(E2*2,0)/2</f>
        <v>4</v>
      </c>
      <c r="G2">
        <f>4-F2</f>
        <v>0</v>
      </c>
    </row>
    <row r="3" spans="1:7" x14ac:dyDescent="0.35">
      <c r="A3" t="s">
        <v>8</v>
      </c>
      <c r="B3">
        <v>6</v>
      </c>
      <c r="C3">
        <v>5.5</v>
      </c>
      <c r="D3">
        <v>5</v>
      </c>
      <c r="E3">
        <f t="shared" ref="E3:E6" si="0">ROUND(AVERAGE(B3:D3),2)</f>
        <v>5.5</v>
      </c>
      <c r="F3">
        <f t="shared" ref="F3:F6" si="1">ROUND(E3*2,0)/2</f>
        <v>5.5</v>
      </c>
      <c r="G3">
        <f t="shared" ref="G3:G6" si="2">4-F3</f>
        <v>-1.5</v>
      </c>
    </row>
    <row r="4" spans="1:7" x14ac:dyDescent="0.35">
      <c r="A4" t="s">
        <v>9</v>
      </c>
      <c r="B4">
        <v>4.2</v>
      </c>
      <c r="C4">
        <v>2.8</v>
      </c>
      <c r="D4">
        <v>4.9000000000000004</v>
      </c>
      <c r="E4">
        <f t="shared" si="0"/>
        <v>3.97</v>
      </c>
      <c r="F4">
        <f t="shared" si="1"/>
        <v>4</v>
      </c>
      <c r="G4">
        <f t="shared" si="2"/>
        <v>0</v>
      </c>
    </row>
    <row r="5" spans="1:7" x14ac:dyDescent="0.35">
      <c r="A5" t="s">
        <v>10</v>
      </c>
      <c r="B5">
        <v>2.5</v>
      </c>
      <c r="C5">
        <v>3.9</v>
      </c>
      <c r="D5">
        <v>4.0999999999999996</v>
      </c>
      <c r="E5">
        <f t="shared" si="0"/>
        <v>3.5</v>
      </c>
      <c r="F5">
        <f t="shared" si="1"/>
        <v>3.5</v>
      </c>
      <c r="G5">
        <f t="shared" si="2"/>
        <v>0.5</v>
      </c>
    </row>
    <row r="6" spans="1:7" x14ac:dyDescent="0.35">
      <c r="A6" t="s">
        <v>11</v>
      </c>
      <c r="B6">
        <v>4.0999999999999996</v>
      </c>
      <c r="C6">
        <v>4</v>
      </c>
      <c r="D6">
        <v>3.8</v>
      </c>
      <c r="E6">
        <f t="shared" si="0"/>
        <v>3.97</v>
      </c>
      <c r="F6">
        <f t="shared" si="1"/>
        <v>4</v>
      </c>
      <c r="G6">
        <f t="shared" si="2"/>
        <v>0</v>
      </c>
    </row>
    <row r="8" spans="1:7" x14ac:dyDescent="0.35">
      <c r="E8" t="s">
        <v>4</v>
      </c>
      <c r="F8">
        <f>SUM(F2:F6)/5</f>
        <v>4.2</v>
      </c>
    </row>
    <row r="9" spans="1:7" x14ac:dyDescent="0.35">
      <c r="D9" t="s">
        <v>12</v>
      </c>
      <c r="F9">
        <f>COUNTIFS(F2:F6,"&lt;4")</f>
        <v>1</v>
      </c>
    </row>
    <row r="10" spans="1:7" x14ac:dyDescent="0.35">
      <c r="E10" t="s">
        <v>13</v>
      </c>
      <c r="F10">
        <f>SUMIF(G2:G6,"&gt;0",G2:G6)</f>
        <v>0.5</v>
      </c>
    </row>
    <row r="11" spans="1:7" x14ac:dyDescent="0.35">
      <c r="E11" t="s">
        <v>14</v>
      </c>
      <c r="F11" t="str">
        <f>IF(AND(AVERAGE(F2:F6)&gt;=4,COUNTIF(F2:F6,"&lt;4")&lt;=1,SUMIF(G2:G6,"&gt;=0",G2:G6)&lt;=1),"YES","NO")</f>
        <v>YES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Auftrag_Modulnoten_Noten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Letizia Gruosso</dc:creator>
  <cp:lastModifiedBy>Letizia Gruosso</cp:lastModifiedBy>
  <dcterms:created xsi:type="dcterms:W3CDTF">2026-09-11T16:17:55Z</dcterms:created>
  <dcterms:modified xsi:type="dcterms:W3CDTF">2026-09-11T17:23:05Z</dcterms:modified>
</cp:coreProperties>
</file>